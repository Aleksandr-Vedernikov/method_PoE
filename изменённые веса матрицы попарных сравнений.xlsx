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4" i="1" l="1"/>
  <c r="AA22" i="1"/>
  <c r="AA3" i="1" l="1"/>
  <c r="AA2" i="1"/>
  <c r="K2" i="1" l="1"/>
  <c r="W32" i="1"/>
  <c r="W39" i="1"/>
  <c r="W38" i="1"/>
  <c r="W37" i="1"/>
  <c r="W36" i="1"/>
  <c r="W35" i="1"/>
  <c r="W34" i="1"/>
  <c r="W33" i="1"/>
  <c r="W29" i="1"/>
  <c r="W28" i="1"/>
  <c r="W27" i="1"/>
  <c r="W26" i="1"/>
  <c r="W25" i="1"/>
  <c r="W24" i="1"/>
  <c r="W23" i="1"/>
  <c r="W22" i="1"/>
  <c r="W19" i="1"/>
  <c r="W18" i="1"/>
  <c r="W17" i="1"/>
  <c r="W16" i="1"/>
  <c r="W15" i="1"/>
  <c r="W14" i="1"/>
  <c r="W13" i="1"/>
  <c r="W12" i="1"/>
  <c r="W9" i="1"/>
  <c r="W8" i="1"/>
  <c r="W7" i="1"/>
  <c r="W6" i="1"/>
  <c r="W5" i="1"/>
  <c r="W4" i="1"/>
  <c r="W3" i="1"/>
  <c r="W2" i="1"/>
  <c r="K39" i="1"/>
  <c r="K38" i="1"/>
  <c r="K37" i="1"/>
  <c r="K36" i="1"/>
  <c r="K35" i="1"/>
  <c r="K34" i="1"/>
  <c r="K33" i="1"/>
  <c r="K32" i="1"/>
  <c r="K29" i="1"/>
  <c r="K28" i="1"/>
  <c r="K27" i="1"/>
  <c r="K26" i="1"/>
  <c r="K25" i="1"/>
  <c r="K24" i="1"/>
  <c r="K23" i="1"/>
  <c r="K22" i="1"/>
  <c r="K19" i="1"/>
  <c r="K18" i="1"/>
  <c r="K17" i="1"/>
  <c r="K16" i="1"/>
  <c r="K15" i="1"/>
  <c r="K14" i="1"/>
  <c r="K13" i="1"/>
  <c r="K12" i="1"/>
  <c r="K9" i="1"/>
  <c r="K3" i="1"/>
  <c r="K4" i="1"/>
  <c r="K5" i="1"/>
  <c r="K6" i="1"/>
  <c r="K7" i="1"/>
  <c r="K8" i="1"/>
  <c r="K40" i="1" l="1"/>
  <c r="AA8" i="1"/>
  <c r="AA7" i="1"/>
  <c r="AA4" i="1"/>
  <c r="AA9" i="1"/>
  <c r="AA6" i="1"/>
  <c r="AA5" i="1"/>
  <c r="W40" i="1"/>
  <c r="W30" i="1"/>
  <c r="W20" i="1"/>
  <c r="W10" i="1"/>
  <c r="K30" i="1"/>
  <c r="K20" i="1"/>
  <c r="K10" i="1"/>
  <c r="AA10" i="1" l="1"/>
</calcChain>
</file>

<file path=xl/sharedStrings.xml><?xml version="1.0" encoding="utf-8"?>
<sst xmlns="http://schemas.openxmlformats.org/spreadsheetml/2006/main" count="54" uniqueCount="23">
  <si>
    <t>Эксперт 1</t>
  </si>
  <si>
    <t>Сумма факторов</t>
  </si>
  <si>
    <t>Эксперт 2</t>
  </si>
  <si>
    <t>Эксперт 3</t>
  </si>
  <si>
    <t>Эксперт 4</t>
  </si>
  <si>
    <t>Эксперт 5</t>
  </si>
  <si>
    <t>Эксперт 6</t>
  </si>
  <si>
    <t>Эксперт 7</t>
  </si>
  <si>
    <t>Эксперт 8</t>
  </si>
  <si>
    <t>№ Фактора</t>
  </si>
  <si>
    <t>Название</t>
  </si>
  <si>
    <t>Уклон рельефа</t>
  </si>
  <si>
    <t>Близость к УДС</t>
  </si>
  <si>
    <t>Близость к остановкам ОТ</t>
  </si>
  <si>
    <t>Близость к ЖДС</t>
  </si>
  <si>
    <t>Близость к КИ</t>
  </si>
  <si>
    <t>Близость к НРС</t>
  </si>
  <si>
    <t>Близость к МПТ</t>
  </si>
  <si>
    <t>Близость к ООПТ</t>
  </si>
  <si>
    <t>Итоговый вес</t>
  </si>
  <si>
    <t>Итоговая сумма:</t>
  </si>
  <si>
    <t>Социальный уклон</t>
  </si>
  <si>
    <t>Экономический уклон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</si>
</sst>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2" fontId="1" fillId="5" borderId="1" xfId="0" applyNumberFormat="1" applyFont="1" applyFill="1" applyBorder="1"/>
    <xf numFmtId="164" fontId="1" fillId="0" borderId="1" xfId="0" applyNumberFormat="1" applyFont="1" applyBorder="1"/>
    <xf numFmtId="0" fontId="1" fillId="6" borderId="1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topLeftCell="B1" workbookViewId="0">
      <selection activeCell="AB19" sqref="AB19"/>
    </sheetView>
  </sheetViews>
  <sheetFormatPr defaultRowHeight="15" x14ac:dyDescent="0.25"/>
  <cols>
    <col min="1" max="1" width="11.5703125" customWidth="1"/>
    <col min="2" max="2" width="6.42578125" customWidth="1"/>
    <col min="3" max="3" width="5.5703125" customWidth="1"/>
    <col min="4" max="4" width="6.42578125" customWidth="1"/>
    <col min="5" max="5" width="5.5703125" customWidth="1"/>
    <col min="6" max="6" width="5.85546875" customWidth="1"/>
    <col min="7" max="7" width="6" customWidth="1"/>
    <col min="8" max="9" width="5.5703125" customWidth="1"/>
    <col min="11" max="11" width="17.5703125" customWidth="1"/>
    <col min="13" max="13" width="11.140625" customWidth="1"/>
    <col min="14" max="14" width="6.5703125" customWidth="1"/>
    <col min="15" max="15" width="6.28515625" customWidth="1"/>
    <col min="16" max="16" width="6.85546875" customWidth="1"/>
    <col min="17" max="17" width="6.42578125" customWidth="1"/>
    <col min="18" max="18" width="6.85546875" customWidth="1"/>
    <col min="19" max="19" width="8" customWidth="1"/>
    <col min="20" max="20" width="7.140625" customWidth="1"/>
    <col min="21" max="21" width="6.42578125" customWidth="1"/>
    <col min="23" max="23" width="18.7109375" customWidth="1"/>
    <col min="25" max="25" width="12.28515625" customWidth="1"/>
    <col min="26" max="26" width="26.140625" customWidth="1"/>
    <col min="27" max="27" width="20.42578125" customWidth="1"/>
  </cols>
  <sheetData>
    <row r="1" spans="1:27" ht="15.75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5"/>
      <c r="K1" s="4" t="s">
        <v>1</v>
      </c>
      <c r="L1" s="5"/>
      <c r="M1" s="2" t="s">
        <v>5</v>
      </c>
      <c r="N1" s="3">
        <v>1</v>
      </c>
      <c r="O1" s="3">
        <v>2</v>
      </c>
      <c r="P1" s="3">
        <v>3</v>
      </c>
      <c r="Q1" s="3">
        <v>4</v>
      </c>
      <c r="R1" s="3">
        <v>5</v>
      </c>
      <c r="S1" s="3">
        <v>6</v>
      </c>
      <c r="T1" s="3">
        <v>7</v>
      </c>
      <c r="U1" s="3">
        <v>8</v>
      </c>
      <c r="V1" s="5"/>
      <c r="W1" s="4" t="s">
        <v>1</v>
      </c>
      <c r="X1" s="5"/>
      <c r="Y1" s="3" t="s">
        <v>9</v>
      </c>
      <c r="Z1" s="3" t="s">
        <v>10</v>
      </c>
      <c r="AA1" s="3" t="s">
        <v>19</v>
      </c>
    </row>
    <row r="2" spans="1:27" ht="15.75" x14ac:dyDescent="0.25">
      <c r="A2" s="3">
        <v>1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1</v>
      </c>
      <c r="J2" s="5"/>
      <c r="K2" s="1">
        <f>SUM(B2:I2)</f>
        <v>3</v>
      </c>
      <c r="L2" s="5"/>
      <c r="M2" s="3">
        <v>1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5"/>
      <c r="W2" s="1">
        <f>SUM(N2:U2)</f>
        <v>1</v>
      </c>
      <c r="X2" s="5"/>
      <c r="Y2" s="6">
        <v>1</v>
      </c>
      <c r="Z2" s="1" t="s">
        <v>11</v>
      </c>
      <c r="AA2" s="8">
        <f>1/(64*8)*SUM(K2+K12+K22+K32+W2+W12+W22+W32)</f>
        <v>4.8828125E-2</v>
      </c>
    </row>
    <row r="3" spans="1:27" ht="15.75" x14ac:dyDescent="0.25">
      <c r="A3" s="3">
        <v>2</v>
      </c>
      <c r="B3" s="1">
        <v>2</v>
      </c>
      <c r="C3" s="1">
        <v>1</v>
      </c>
      <c r="D3" s="1">
        <v>2</v>
      </c>
      <c r="E3" s="1">
        <v>2</v>
      </c>
      <c r="F3" s="1">
        <v>2</v>
      </c>
      <c r="G3" s="1">
        <v>0</v>
      </c>
      <c r="H3" s="1">
        <v>1</v>
      </c>
      <c r="I3" s="1">
        <v>2</v>
      </c>
      <c r="J3" s="5"/>
      <c r="K3" s="1">
        <f t="shared" ref="K3:K8" si="0">SUM(B3:I3)</f>
        <v>12</v>
      </c>
      <c r="L3" s="5"/>
      <c r="M3" s="3">
        <v>2</v>
      </c>
      <c r="N3" s="1">
        <v>2</v>
      </c>
      <c r="O3" s="1">
        <v>1</v>
      </c>
      <c r="P3" s="1">
        <v>1</v>
      </c>
      <c r="Q3" s="1">
        <v>2</v>
      </c>
      <c r="R3" s="1">
        <v>1</v>
      </c>
      <c r="S3" s="1">
        <v>1</v>
      </c>
      <c r="T3" s="1">
        <v>1</v>
      </c>
      <c r="U3" s="1">
        <v>2</v>
      </c>
      <c r="V3" s="5"/>
      <c r="W3" s="1">
        <f t="shared" ref="W3:W8" si="1">SUM(N3:U3)</f>
        <v>11</v>
      </c>
      <c r="X3" s="5"/>
      <c r="Y3" s="6">
        <v>2</v>
      </c>
      <c r="Z3" s="1" t="s">
        <v>12</v>
      </c>
      <c r="AA3" s="8">
        <f>1/(64*8)*SUM(K3+K13+K23+K33+W3+W13+W23+W33)</f>
        <v>0.154296875</v>
      </c>
    </row>
    <row r="4" spans="1:27" ht="15.75" x14ac:dyDescent="0.25">
      <c r="A4" s="3">
        <v>3</v>
      </c>
      <c r="B4" s="1">
        <v>2</v>
      </c>
      <c r="C4" s="1">
        <v>0</v>
      </c>
      <c r="D4" s="1">
        <v>1</v>
      </c>
      <c r="E4" s="1">
        <v>2</v>
      </c>
      <c r="F4" s="1">
        <v>2</v>
      </c>
      <c r="G4" s="1">
        <v>0</v>
      </c>
      <c r="H4" s="1">
        <v>1</v>
      </c>
      <c r="I4" s="1">
        <v>2</v>
      </c>
      <c r="J4" s="5"/>
      <c r="K4" s="1">
        <f t="shared" si="0"/>
        <v>10</v>
      </c>
      <c r="L4" s="5"/>
      <c r="M4" s="3">
        <v>3</v>
      </c>
      <c r="N4" s="1">
        <v>2</v>
      </c>
      <c r="O4" s="1">
        <v>1</v>
      </c>
      <c r="P4" s="1">
        <v>1</v>
      </c>
      <c r="Q4" s="1">
        <v>2</v>
      </c>
      <c r="R4" s="1">
        <v>1</v>
      </c>
      <c r="S4" s="1">
        <v>1</v>
      </c>
      <c r="T4" s="1">
        <v>1</v>
      </c>
      <c r="U4" s="1">
        <v>2</v>
      </c>
      <c r="V4" s="5"/>
      <c r="W4" s="1">
        <f t="shared" si="1"/>
        <v>11</v>
      </c>
      <c r="X4" s="5"/>
      <c r="Y4" s="6">
        <v>3</v>
      </c>
      <c r="Z4" s="1" t="s">
        <v>13</v>
      </c>
      <c r="AA4" s="8">
        <f t="shared" ref="AA4:AA9" si="2">1/(64*8)*SUM(K4+K14+K24+K34+W4+W14+W24+W34)</f>
        <v>0.1484375</v>
      </c>
    </row>
    <row r="5" spans="1:27" ht="15.75" x14ac:dyDescent="0.25">
      <c r="A5" s="3">
        <v>4</v>
      </c>
      <c r="B5" s="1">
        <v>2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5"/>
      <c r="K5" s="1">
        <f t="shared" si="0"/>
        <v>5</v>
      </c>
      <c r="L5" s="5"/>
      <c r="M5" s="3">
        <v>4</v>
      </c>
      <c r="N5" s="1">
        <v>2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1</v>
      </c>
      <c r="V5" s="5"/>
      <c r="W5" s="1">
        <f t="shared" si="1"/>
        <v>4</v>
      </c>
      <c r="X5" s="5"/>
      <c r="Y5" s="6">
        <v>4</v>
      </c>
      <c r="Z5" s="1" t="s">
        <v>14</v>
      </c>
      <c r="AA5" s="8">
        <f t="shared" si="2"/>
        <v>8.0078125E-2</v>
      </c>
    </row>
    <row r="6" spans="1:27" ht="15.75" x14ac:dyDescent="0.25">
      <c r="A6" s="3">
        <v>5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2</v>
      </c>
      <c r="J6" s="5"/>
      <c r="K6" s="1">
        <f t="shared" si="0"/>
        <v>6</v>
      </c>
      <c r="L6" s="5"/>
      <c r="M6" s="3">
        <v>5</v>
      </c>
      <c r="N6" s="1">
        <v>2</v>
      </c>
      <c r="O6" s="1">
        <v>1</v>
      </c>
      <c r="P6" s="1">
        <v>1</v>
      </c>
      <c r="Q6" s="1">
        <v>2</v>
      </c>
      <c r="R6" s="1">
        <v>1</v>
      </c>
      <c r="S6" s="1">
        <v>1</v>
      </c>
      <c r="T6" s="1">
        <v>1</v>
      </c>
      <c r="U6" s="1">
        <v>2</v>
      </c>
      <c r="V6" s="5"/>
      <c r="W6" s="1">
        <f t="shared" si="1"/>
        <v>11</v>
      </c>
      <c r="X6" s="5"/>
      <c r="Y6" s="6">
        <v>5</v>
      </c>
      <c r="Z6" s="1" t="s">
        <v>15</v>
      </c>
      <c r="AA6" s="8">
        <f t="shared" si="2"/>
        <v>0.126953125</v>
      </c>
    </row>
    <row r="7" spans="1:27" ht="15.75" x14ac:dyDescent="0.25">
      <c r="A7" s="3">
        <v>6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2</v>
      </c>
      <c r="I7" s="1">
        <v>2</v>
      </c>
      <c r="J7" s="5"/>
      <c r="K7" s="1">
        <f t="shared" si="0"/>
        <v>15</v>
      </c>
      <c r="L7" s="5"/>
      <c r="M7" s="3">
        <v>6</v>
      </c>
      <c r="N7" s="1">
        <v>2</v>
      </c>
      <c r="O7" s="1">
        <v>1</v>
      </c>
      <c r="P7" s="1">
        <v>1</v>
      </c>
      <c r="Q7" s="1">
        <v>2</v>
      </c>
      <c r="R7" s="1">
        <v>1</v>
      </c>
      <c r="S7" s="1">
        <v>1</v>
      </c>
      <c r="T7" s="1">
        <v>1</v>
      </c>
      <c r="U7" s="1">
        <v>2</v>
      </c>
      <c r="V7" s="5"/>
      <c r="W7" s="1">
        <f t="shared" si="1"/>
        <v>11</v>
      </c>
      <c r="X7" s="5"/>
      <c r="Y7" s="6">
        <v>6</v>
      </c>
      <c r="Z7" s="1" t="s">
        <v>16</v>
      </c>
      <c r="AA7" s="8">
        <f t="shared" si="2"/>
        <v>0.21484375</v>
      </c>
    </row>
    <row r="8" spans="1:27" ht="15.75" x14ac:dyDescent="0.25">
      <c r="A8" s="3">
        <v>7</v>
      </c>
      <c r="B8" s="1">
        <v>2</v>
      </c>
      <c r="C8" s="1">
        <v>1</v>
      </c>
      <c r="D8" s="1">
        <v>1</v>
      </c>
      <c r="E8" s="1">
        <v>2</v>
      </c>
      <c r="F8" s="1">
        <v>1</v>
      </c>
      <c r="G8" s="1">
        <v>0</v>
      </c>
      <c r="H8" s="1">
        <v>1</v>
      </c>
      <c r="I8" s="1">
        <v>1</v>
      </c>
      <c r="J8" s="5"/>
      <c r="K8" s="1">
        <f t="shared" si="0"/>
        <v>9</v>
      </c>
      <c r="L8" s="5"/>
      <c r="M8" s="3">
        <v>7</v>
      </c>
      <c r="N8" s="1">
        <v>2</v>
      </c>
      <c r="O8" s="1">
        <v>1</v>
      </c>
      <c r="P8" s="1">
        <v>1</v>
      </c>
      <c r="Q8" s="1">
        <v>2</v>
      </c>
      <c r="R8" s="1">
        <v>1</v>
      </c>
      <c r="S8" s="1">
        <v>1</v>
      </c>
      <c r="T8" s="1">
        <v>1</v>
      </c>
      <c r="U8" s="1">
        <v>2</v>
      </c>
      <c r="V8" s="5"/>
      <c r="W8" s="1">
        <f t="shared" si="1"/>
        <v>11</v>
      </c>
      <c r="X8" s="5"/>
      <c r="Y8" s="6">
        <v>7</v>
      </c>
      <c r="Z8" s="1" t="s">
        <v>17</v>
      </c>
      <c r="AA8" s="8">
        <f t="shared" si="2"/>
        <v>0.162109375</v>
      </c>
    </row>
    <row r="9" spans="1:27" ht="15.75" x14ac:dyDescent="0.25">
      <c r="A9" s="3">
        <v>8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1</v>
      </c>
      <c r="I9" s="1">
        <v>1</v>
      </c>
      <c r="J9" s="5"/>
      <c r="K9" s="1">
        <f>SUM(B9:I9)</f>
        <v>4</v>
      </c>
      <c r="L9" s="5"/>
      <c r="M9" s="3">
        <v>8</v>
      </c>
      <c r="N9" s="1">
        <v>2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5"/>
      <c r="W9" s="1">
        <f>SUM(N9:U9)</f>
        <v>4</v>
      </c>
      <c r="X9" s="5"/>
      <c r="Y9" s="6">
        <v>8</v>
      </c>
      <c r="Z9" s="1" t="s">
        <v>18</v>
      </c>
      <c r="AA9" s="8">
        <f t="shared" si="2"/>
        <v>6.4453125E-2</v>
      </c>
    </row>
    <row r="10" spans="1:27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9">
        <f>SUM(K2:K9)</f>
        <v>64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>
        <f>SUM(W2:W9)</f>
        <v>64</v>
      </c>
      <c r="X10" s="5"/>
      <c r="Y10" s="12" t="s">
        <v>20</v>
      </c>
      <c r="Z10" s="12"/>
      <c r="AA10" s="7">
        <f>SUM(AA2:AA9)</f>
        <v>1</v>
      </c>
    </row>
    <row r="11" spans="1:27" ht="15.75" x14ac:dyDescent="0.25">
      <c r="A11" s="2" t="s">
        <v>2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5"/>
      <c r="K11" s="4" t="s">
        <v>1</v>
      </c>
      <c r="L11" s="5"/>
      <c r="M11" s="2" t="s">
        <v>6</v>
      </c>
      <c r="N11" s="3">
        <v>1</v>
      </c>
      <c r="O11" s="3">
        <v>2</v>
      </c>
      <c r="P11" s="3">
        <v>3</v>
      </c>
      <c r="Q11" s="3">
        <v>4</v>
      </c>
      <c r="R11" s="3">
        <v>5</v>
      </c>
      <c r="S11" s="3">
        <v>6</v>
      </c>
      <c r="T11" s="3">
        <v>7</v>
      </c>
      <c r="U11" s="3">
        <v>8</v>
      </c>
      <c r="V11" s="5"/>
      <c r="W11" s="4" t="s">
        <v>1</v>
      </c>
      <c r="X11" s="5"/>
      <c r="Y11" s="5"/>
      <c r="Z11" s="5"/>
      <c r="AA11" s="5"/>
    </row>
    <row r="12" spans="1:27" ht="15.75" x14ac:dyDescent="0.25">
      <c r="A12" s="3">
        <v>1</v>
      </c>
      <c r="B12" s="1">
        <v>1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1</v>
      </c>
      <c r="J12" s="5"/>
      <c r="K12" s="1">
        <f>SUM(B12:I12)</f>
        <v>4</v>
      </c>
      <c r="L12" s="5"/>
      <c r="M12" s="3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1</v>
      </c>
      <c r="V12" s="5"/>
      <c r="W12" s="1">
        <f>SUM(N12:U12)</f>
        <v>4</v>
      </c>
      <c r="X12" s="5"/>
      <c r="Y12" s="13" t="s">
        <v>22</v>
      </c>
      <c r="Z12" s="13"/>
      <c r="AA12" s="13"/>
    </row>
    <row r="13" spans="1:27" ht="15.75" x14ac:dyDescent="0.25">
      <c r="A13" s="3">
        <v>2</v>
      </c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5"/>
      <c r="K13" s="1">
        <f t="shared" ref="K13:K18" si="3">SUM(B13:I13)</f>
        <v>9</v>
      </c>
      <c r="L13" s="5"/>
      <c r="M13" s="3">
        <v>2</v>
      </c>
      <c r="N13" s="1">
        <v>2</v>
      </c>
      <c r="O13" s="1">
        <v>1</v>
      </c>
      <c r="P13" s="1">
        <v>2</v>
      </c>
      <c r="Q13" s="1">
        <v>2</v>
      </c>
      <c r="R13" s="1">
        <v>2</v>
      </c>
      <c r="S13" s="1">
        <v>0</v>
      </c>
      <c r="T13" s="1">
        <v>1</v>
      </c>
      <c r="U13" s="1">
        <v>2</v>
      </c>
      <c r="V13" s="5"/>
      <c r="W13" s="1">
        <f t="shared" ref="W13:W18" si="4">SUM(N13:U13)</f>
        <v>12</v>
      </c>
      <c r="X13" s="5"/>
      <c r="Y13" s="3" t="s">
        <v>9</v>
      </c>
      <c r="Z13" s="3" t="s">
        <v>10</v>
      </c>
      <c r="AA13" s="3" t="s">
        <v>19</v>
      </c>
    </row>
    <row r="14" spans="1:27" ht="15.75" x14ac:dyDescent="0.25">
      <c r="A14" s="3">
        <v>3</v>
      </c>
      <c r="B14" s="1">
        <v>2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1</v>
      </c>
      <c r="J14" s="5"/>
      <c r="K14" s="1">
        <f t="shared" si="3"/>
        <v>8</v>
      </c>
      <c r="L14" s="5"/>
      <c r="M14" s="3">
        <v>3</v>
      </c>
      <c r="N14" s="1">
        <v>2</v>
      </c>
      <c r="O14" s="1">
        <v>0</v>
      </c>
      <c r="P14" s="1">
        <v>1</v>
      </c>
      <c r="Q14" s="1">
        <v>2</v>
      </c>
      <c r="R14" s="1">
        <v>2</v>
      </c>
      <c r="S14" s="1">
        <v>0</v>
      </c>
      <c r="T14" s="1">
        <v>1</v>
      </c>
      <c r="U14" s="1">
        <v>2</v>
      </c>
      <c r="V14" s="5"/>
      <c r="W14" s="1">
        <f t="shared" si="4"/>
        <v>10</v>
      </c>
      <c r="X14" s="5"/>
      <c r="Y14" s="6">
        <v>1</v>
      </c>
      <c r="Z14" s="1" t="s">
        <v>11</v>
      </c>
      <c r="AA14" s="8">
        <v>0.2</v>
      </c>
    </row>
    <row r="15" spans="1:27" ht="15.75" x14ac:dyDescent="0.25">
      <c r="A15" s="3">
        <v>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J15" s="5"/>
      <c r="K15" s="1">
        <f t="shared" si="3"/>
        <v>7</v>
      </c>
      <c r="L15" s="5"/>
      <c r="M15" s="3">
        <v>4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1</v>
      </c>
      <c r="V15" s="5"/>
      <c r="W15" s="1">
        <f t="shared" si="4"/>
        <v>4</v>
      </c>
      <c r="X15" s="5"/>
      <c r="Y15" s="6">
        <v>2</v>
      </c>
      <c r="Z15" s="1" t="s">
        <v>12</v>
      </c>
      <c r="AA15" s="8">
        <v>0.25</v>
      </c>
    </row>
    <row r="16" spans="1:27" ht="15.75" x14ac:dyDescent="0.25">
      <c r="A16" s="3">
        <v>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1</v>
      </c>
      <c r="I16" s="1">
        <v>2</v>
      </c>
      <c r="J16" s="5"/>
      <c r="K16" s="1">
        <f t="shared" si="3"/>
        <v>8</v>
      </c>
      <c r="L16" s="5"/>
      <c r="M16" s="3">
        <v>5</v>
      </c>
      <c r="N16" s="1">
        <v>1</v>
      </c>
      <c r="O16" s="1">
        <v>0</v>
      </c>
      <c r="P16" s="1">
        <v>0</v>
      </c>
      <c r="Q16" s="1">
        <v>1</v>
      </c>
      <c r="R16" s="1">
        <v>1</v>
      </c>
      <c r="S16" s="1">
        <v>0</v>
      </c>
      <c r="T16" s="1">
        <v>1</v>
      </c>
      <c r="U16" s="1">
        <v>2</v>
      </c>
      <c r="V16" s="5"/>
      <c r="W16" s="1">
        <f t="shared" si="4"/>
        <v>6</v>
      </c>
      <c r="X16" s="5"/>
      <c r="Y16" s="6">
        <v>3</v>
      </c>
      <c r="Z16" s="1" t="s">
        <v>13</v>
      </c>
      <c r="AA16" s="8">
        <v>0.05</v>
      </c>
    </row>
    <row r="17" spans="1:27" ht="15.75" x14ac:dyDescent="0.25">
      <c r="A17" s="3">
        <v>6</v>
      </c>
      <c r="B17" s="1">
        <v>2</v>
      </c>
      <c r="C17" s="1">
        <v>1</v>
      </c>
      <c r="D17" s="1">
        <v>1</v>
      </c>
      <c r="E17" s="1">
        <v>2</v>
      </c>
      <c r="F17" s="1">
        <v>2</v>
      </c>
      <c r="G17" s="1">
        <v>1</v>
      </c>
      <c r="H17" s="1">
        <v>1</v>
      </c>
      <c r="I17" s="1">
        <v>2</v>
      </c>
      <c r="J17" s="5"/>
      <c r="K17" s="1">
        <f t="shared" si="3"/>
        <v>12</v>
      </c>
      <c r="L17" s="5"/>
      <c r="M17" s="3">
        <v>6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1</v>
      </c>
      <c r="T17" s="1">
        <v>1</v>
      </c>
      <c r="U17" s="1">
        <v>2</v>
      </c>
      <c r="V17" s="5"/>
      <c r="W17" s="1">
        <f t="shared" si="4"/>
        <v>14</v>
      </c>
      <c r="X17" s="5"/>
      <c r="Y17" s="6">
        <v>4</v>
      </c>
      <c r="Z17" s="1" t="s">
        <v>14</v>
      </c>
      <c r="AA17" s="8">
        <v>0.1</v>
      </c>
    </row>
    <row r="18" spans="1:27" ht="15.75" x14ac:dyDescent="0.25">
      <c r="A18" s="3">
        <v>7</v>
      </c>
      <c r="B18" s="1">
        <v>2</v>
      </c>
      <c r="C18" s="1">
        <v>1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5"/>
      <c r="K18" s="1">
        <f t="shared" si="3"/>
        <v>10</v>
      </c>
      <c r="L18" s="5"/>
      <c r="M18" s="3">
        <v>7</v>
      </c>
      <c r="N18" s="1">
        <v>2</v>
      </c>
      <c r="O18" s="1">
        <v>1</v>
      </c>
      <c r="P18" s="1">
        <v>1</v>
      </c>
      <c r="Q18" s="1">
        <v>2</v>
      </c>
      <c r="R18" s="1">
        <v>1</v>
      </c>
      <c r="S18" s="1">
        <v>1</v>
      </c>
      <c r="T18" s="1">
        <v>1</v>
      </c>
      <c r="U18" s="1">
        <v>1</v>
      </c>
      <c r="V18" s="5"/>
      <c r="W18" s="1">
        <f t="shared" si="4"/>
        <v>10</v>
      </c>
      <c r="X18" s="5"/>
      <c r="Y18" s="6">
        <v>5</v>
      </c>
      <c r="Z18" s="1" t="s">
        <v>15</v>
      </c>
      <c r="AA18" s="8">
        <v>0.25</v>
      </c>
    </row>
    <row r="19" spans="1:27" ht="15.75" x14ac:dyDescent="0.25">
      <c r="A19" s="3">
        <v>8</v>
      </c>
      <c r="B19" s="1">
        <v>1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1</v>
      </c>
      <c r="J19" s="5"/>
      <c r="K19" s="1">
        <f>SUM(B19:I19)</f>
        <v>6</v>
      </c>
      <c r="L19" s="5"/>
      <c r="M19" s="3">
        <v>8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1</v>
      </c>
      <c r="V19" s="5"/>
      <c r="W19" s="1">
        <f>SUM(N19:U19)</f>
        <v>4</v>
      </c>
      <c r="X19" s="5"/>
      <c r="Y19" s="6">
        <v>6</v>
      </c>
      <c r="Z19" s="1" t="s">
        <v>16</v>
      </c>
      <c r="AA19" s="8">
        <v>0.05</v>
      </c>
    </row>
    <row r="20" spans="1:27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9">
        <f>SUM(K12:K19)</f>
        <v>64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>
        <f>SUM(W12:W19)</f>
        <v>64</v>
      </c>
      <c r="X20" s="5"/>
      <c r="Y20" s="6">
        <v>7</v>
      </c>
      <c r="Z20" s="1" t="s">
        <v>17</v>
      </c>
      <c r="AA20" s="8">
        <v>0.05</v>
      </c>
    </row>
    <row r="21" spans="1:27" ht="15.75" x14ac:dyDescent="0.25">
      <c r="A21" s="2" t="s">
        <v>3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5"/>
      <c r="K21" s="4" t="s">
        <v>1</v>
      </c>
      <c r="L21" s="5"/>
      <c r="M21" s="2" t="s">
        <v>7</v>
      </c>
      <c r="N21" s="3">
        <v>1</v>
      </c>
      <c r="O21" s="3">
        <v>2</v>
      </c>
      <c r="P21" s="3">
        <v>3</v>
      </c>
      <c r="Q21" s="3">
        <v>4</v>
      </c>
      <c r="R21" s="3">
        <v>5</v>
      </c>
      <c r="S21" s="3">
        <v>6</v>
      </c>
      <c r="T21" s="3">
        <v>7</v>
      </c>
      <c r="U21" s="3">
        <v>8</v>
      </c>
      <c r="V21" s="5"/>
      <c r="W21" s="4" t="s">
        <v>1</v>
      </c>
      <c r="X21" s="5"/>
      <c r="Y21" s="6">
        <v>8</v>
      </c>
      <c r="Z21" s="1" t="s">
        <v>18</v>
      </c>
      <c r="AA21" s="8">
        <v>0.05</v>
      </c>
    </row>
    <row r="22" spans="1:27" ht="15.75" x14ac:dyDescent="0.25">
      <c r="A22" s="3">
        <v>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5"/>
      <c r="K22" s="1">
        <f>SUM(B22:I22)</f>
        <v>1</v>
      </c>
      <c r="L22" s="5"/>
      <c r="M22" s="3">
        <v>1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2</v>
      </c>
      <c r="V22" s="5"/>
      <c r="W22" s="1">
        <f>SUM(N22:U22)</f>
        <v>5</v>
      </c>
      <c r="X22" s="5"/>
      <c r="Y22" s="12" t="s">
        <v>20</v>
      </c>
      <c r="Z22" s="12"/>
      <c r="AA22" s="7">
        <f>SUM(AA14:AA21)</f>
        <v>1</v>
      </c>
    </row>
    <row r="23" spans="1:27" ht="15.75" x14ac:dyDescent="0.25">
      <c r="A23" s="3">
        <v>2</v>
      </c>
      <c r="B23" s="1">
        <v>2</v>
      </c>
      <c r="C23" s="1">
        <v>1</v>
      </c>
      <c r="D23" s="1">
        <v>2</v>
      </c>
      <c r="E23" s="1">
        <v>2</v>
      </c>
      <c r="F23" s="1">
        <v>1</v>
      </c>
      <c r="G23" s="1">
        <v>0</v>
      </c>
      <c r="H23" s="1">
        <v>0</v>
      </c>
      <c r="I23" s="1">
        <v>2</v>
      </c>
      <c r="J23" s="5"/>
      <c r="K23" s="1">
        <f t="shared" ref="K23:K28" si="5">SUM(B23:I23)</f>
        <v>10</v>
      </c>
      <c r="L23" s="5"/>
      <c r="M23" s="3">
        <v>2</v>
      </c>
      <c r="N23" s="1">
        <v>2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2</v>
      </c>
      <c r="V23" s="5"/>
      <c r="W23" s="1">
        <f t="shared" ref="W23:W28" si="6">SUM(N23:U23)</f>
        <v>9</v>
      </c>
      <c r="X23" s="5"/>
      <c r="Y23" s="11"/>
      <c r="Z23" s="11"/>
      <c r="AA23" s="11"/>
    </row>
    <row r="24" spans="1:27" ht="15.75" x14ac:dyDescent="0.25">
      <c r="A24" s="3">
        <v>3</v>
      </c>
      <c r="B24" s="1">
        <v>2</v>
      </c>
      <c r="C24" s="1">
        <v>0</v>
      </c>
      <c r="D24" s="1">
        <v>1</v>
      </c>
      <c r="E24" s="1">
        <v>2</v>
      </c>
      <c r="F24" s="1">
        <v>1</v>
      </c>
      <c r="G24" s="1">
        <v>0</v>
      </c>
      <c r="H24" s="1">
        <v>0</v>
      </c>
      <c r="I24" s="1">
        <v>2</v>
      </c>
      <c r="J24" s="5"/>
      <c r="K24" s="1">
        <f t="shared" si="5"/>
        <v>8</v>
      </c>
      <c r="L24" s="5"/>
      <c r="M24" s="3">
        <v>3</v>
      </c>
      <c r="N24" s="1">
        <v>2</v>
      </c>
      <c r="O24" s="1">
        <v>1</v>
      </c>
      <c r="P24" s="1">
        <v>1</v>
      </c>
      <c r="Q24" s="1">
        <v>1</v>
      </c>
      <c r="R24" s="1">
        <v>1</v>
      </c>
      <c r="S24" s="1">
        <v>0</v>
      </c>
      <c r="T24" s="1">
        <v>1</v>
      </c>
      <c r="U24" s="1">
        <v>2</v>
      </c>
      <c r="V24" s="5"/>
      <c r="W24" s="1">
        <f t="shared" si="6"/>
        <v>9</v>
      </c>
      <c r="X24" s="5"/>
      <c r="Y24" s="14" t="s">
        <v>21</v>
      </c>
      <c r="Z24" s="14"/>
      <c r="AA24" s="14"/>
    </row>
    <row r="25" spans="1:27" ht="15.75" x14ac:dyDescent="0.25">
      <c r="A25" s="3">
        <v>4</v>
      </c>
      <c r="B25" s="1">
        <v>2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2</v>
      </c>
      <c r="J25" s="5"/>
      <c r="K25" s="1">
        <f t="shared" si="5"/>
        <v>5</v>
      </c>
      <c r="L25" s="5"/>
      <c r="M25" s="3">
        <v>4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5"/>
      <c r="W25" s="1">
        <f t="shared" si="6"/>
        <v>6</v>
      </c>
      <c r="X25" s="5"/>
      <c r="Y25" s="3" t="s">
        <v>9</v>
      </c>
      <c r="Z25" s="3" t="s">
        <v>10</v>
      </c>
      <c r="AA25" s="3" t="s">
        <v>19</v>
      </c>
    </row>
    <row r="26" spans="1:27" ht="15.75" x14ac:dyDescent="0.25">
      <c r="A26" s="3">
        <v>5</v>
      </c>
      <c r="B26" s="1">
        <v>2</v>
      </c>
      <c r="C26" s="1">
        <v>1</v>
      </c>
      <c r="D26" s="1">
        <v>1</v>
      </c>
      <c r="E26" s="1">
        <v>2</v>
      </c>
      <c r="F26" s="1">
        <v>1</v>
      </c>
      <c r="G26" s="1">
        <v>0</v>
      </c>
      <c r="H26" s="1">
        <v>0</v>
      </c>
      <c r="I26" s="1">
        <v>2</v>
      </c>
      <c r="J26" s="5"/>
      <c r="K26" s="1">
        <f t="shared" si="5"/>
        <v>9</v>
      </c>
      <c r="L26" s="5"/>
      <c r="M26" s="3">
        <v>5</v>
      </c>
      <c r="N26" s="1">
        <v>2</v>
      </c>
      <c r="O26" s="1">
        <v>1</v>
      </c>
      <c r="P26" s="1">
        <v>1</v>
      </c>
      <c r="Q26" s="1">
        <v>2</v>
      </c>
      <c r="R26" s="1">
        <v>1</v>
      </c>
      <c r="S26" s="1">
        <v>0</v>
      </c>
      <c r="T26" s="1">
        <v>1</v>
      </c>
      <c r="U26" s="1">
        <v>1</v>
      </c>
      <c r="V26" s="5"/>
      <c r="W26" s="1">
        <f t="shared" si="6"/>
        <v>9</v>
      </c>
      <c r="X26" s="5"/>
      <c r="Y26" s="6">
        <v>1</v>
      </c>
      <c r="Z26" s="1" t="s">
        <v>11</v>
      </c>
      <c r="AA26" s="8">
        <v>0.05</v>
      </c>
    </row>
    <row r="27" spans="1:27" ht="15.75" x14ac:dyDescent="0.25">
      <c r="A27" s="3">
        <v>6</v>
      </c>
      <c r="B27" s="1">
        <v>2</v>
      </c>
      <c r="C27" s="1">
        <v>2</v>
      </c>
      <c r="D27" s="1">
        <v>2</v>
      </c>
      <c r="E27" s="1">
        <v>2</v>
      </c>
      <c r="F27" s="1">
        <v>2</v>
      </c>
      <c r="G27" s="1">
        <v>1</v>
      </c>
      <c r="H27" s="1">
        <v>1</v>
      </c>
      <c r="I27" s="1">
        <v>2</v>
      </c>
      <c r="J27" s="5"/>
      <c r="K27" s="1">
        <f t="shared" si="5"/>
        <v>14</v>
      </c>
      <c r="L27" s="5"/>
      <c r="M27" s="3">
        <v>6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1</v>
      </c>
      <c r="T27" s="1">
        <v>1</v>
      </c>
      <c r="U27" s="1">
        <v>2</v>
      </c>
      <c r="V27" s="5"/>
      <c r="W27" s="1">
        <f t="shared" si="6"/>
        <v>14</v>
      </c>
      <c r="X27" s="5"/>
      <c r="Y27" s="6">
        <v>2</v>
      </c>
      <c r="Z27" s="1" t="s">
        <v>12</v>
      </c>
      <c r="AA27" s="8">
        <v>0.2</v>
      </c>
    </row>
    <row r="28" spans="1:27" ht="15.75" x14ac:dyDescent="0.25">
      <c r="A28" s="3">
        <v>7</v>
      </c>
      <c r="B28" s="1">
        <v>2</v>
      </c>
      <c r="C28" s="1">
        <v>2</v>
      </c>
      <c r="D28" s="1">
        <v>2</v>
      </c>
      <c r="E28" s="1">
        <v>2</v>
      </c>
      <c r="F28" s="1">
        <v>2</v>
      </c>
      <c r="G28" s="1">
        <v>1</v>
      </c>
      <c r="H28" s="1">
        <v>1</v>
      </c>
      <c r="I28" s="1">
        <v>2</v>
      </c>
      <c r="J28" s="5"/>
      <c r="K28" s="1">
        <f t="shared" si="5"/>
        <v>14</v>
      </c>
      <c r="L28" s="5"/>
      <c r="M28" s="3">
        <v>7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5"/>
      <c r="W28" s="1">
        <f t="shared" si="6"/>
        <v>8</v>
      </c>
      <c r="X28" s="5"/>
      <c r="Y28" s="6">
        <v>3</v>
      </c>
      <c r="Z28" s="1" t="s">
        <v>13</v>
      </c>
      <c r="AA28" s="8">
        <v>0.25</v>
      </c>
    </row>
    <row r="29" spans="1:27" ht="15.75" x14ac:dyDescent="0.25">
      <c r="A29" s="3">
        <v>8</v>
      </c>
      <c r="B29" s="1">
        <v>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5"/>
      <c r="K29" s="1">
        <f>SUM(B29:I29)</f>
        <v>3</v>
      </c>
      <c r="L29" s="5"/>
      <c r="M29" s="3">
        <v>8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0</v>
      </c>
      <c r="T29" s="1">
        <v>1</v>
      </c>
      <c r="U29" s="1">
        <v>1</v>
      </c>
      <c r="V29" s="5"/>
      <c r="W29" s="10">
        <f>SUM(N29:U29)</f>
        <v>4</v>
      </c>
      <c r="X29" s="5"/>
      <c r="Y29" s="6">
        <v>4</v>
      </c>
      <c r="Z29" s="1" t="s">
        <v>14</v>
      </c>
      <c r="AA29" s="8">
        <v>0.05</v>
      </c>
    </row>
    <row r="30" spans="1:27" ht="15.7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9">
        <f>SUM(K22:K29)</f>
        <v>64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>
        <f>SUM(W22:W29)</f>
        <v>64</v>
      </c>
      <c r="X30" s="5"/>
      <c r="Y30" s="6">
        <v>5</v>
      </c>
      <c r="Z30" s="1" t="s">
        <v>15</v>
      </c>
      <c r="AA30" s="8">
        <v>0.05</v>
      </c>
    </row>
    <row r="31" spans="1:27" ht="15.75" x14ac:dyDescent="0.25">
      <c r="A31" s="2" t="s">
        <v>4</v>
      </c>
      <c r="B31" s="3">
        <v>1</v>
      </c>
      <c r="C31" s="3">
        <v>2</v>
      </c>
      <c r="D31" s="3">
        <v>3</v>
      </c>
      <c r="E31" s="3">
        <v>4</v>
      </c>
      <c r="F31" s="3">
        <v>5</v>
      </c>
      <c r="G31" s="3">
        <v>6</v>
      </c>
      <c r="H31" s="3">
        <v>7</v>
      </c>
      <c r="I31" s="3">
        <v>8</v>
      </c>
      <c r="J31" s="5"/>
      <c r="K31" s="4" t="s">
        <v>1</v>
      </c>
      <c r="L31" s="5"/>
      <c r="M31" s="2" t="s">
        <v>8</v>
      </c>
      <c r="N31" s="3">
        <v>1</v>
      </c>
      <c r="O31" s="3">
        <v>2</v>
      </c>
      <c r="P31" s="3">
        <v>3</v>
      </c>
      <c r="Q31" s="3">
        <v>4</v>
      </c>
      <c r="R31" s="3">
        <v>5</v>
      </c>
      <c r="S31" s="3">
        <v>6</v>
      </c>
      <c r="T31" s="3">
        <v>7</v>
      </c>
      <c r="U31" s="3">
        <v>8</v>
      </c>
      <c r="V31" s="5"/>
      <c r="W31" s="4" t="s">
        <v>1</v>
      </c>
      <c r="X31" s="5"/>
      <c r="Y31" s="6">
        <v>6</v>
      </c>
      <c r="Z31" s="1" t="s">
        <v>16</v>
      </c>
      <c r="AA31" s="8">
        <v>0.25</v>
      </c>
    </row>
    <row r="32" spans="1:27" ht="15.75" x14ac:dyDescent="0.25">
      <c r="A32" s="3">
        <v>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5"/>
      <c r="K32" s="1">
        <f>SUM(B32:I32)</f>
        <v>1</v>
      </c>
      <c r="L32" s="5"/>
      <c r="M32" s="3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1</v>
      </c>
      <c r="V32" s="5"/>
      <c r="W32" s="1">
        <f>SUM(N32:U32)</f>
        <v>6</v>
      </c>
      <c r="X32" s="5"/>
      <c r="Y32" s="6">
        <v>7</v>
      </c>
      <c r="Z32" s="1" t="s">
        <v>17</v>
      </c>
      <c r="AA32" s="8">
        <v>0.05</v>
      </c>
    </row>
    <row r="33" spans="1:27" ht="15.75" x14ac:dyDescent="0.25">
      <c r="A33" s="3">
        <v>2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2</v>
      </c>
      <c r="J33" s="5"/>
      <c r="K33" s="1">
        <f t="shared" ref="K33:K38" si="7">SUM(B33:I33)</f>
        <v>9</v>
      </c>
      <c r="L33" s="5"/>
      <c r="M33" s="3">
        <v>2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1</v>
      </c>
      <c r="U33" s="1">
        <v>1</v>
      </c>
      <c r="V33" s="5"/>
      <c r="W33" s="1">
        <f t="shared" ref="W33:W38" si="8">SUM(N33:U33)</f>
        <v>7</v>
      </c>
      <c r="X33" s="5"/>
      <c r="Y33" s="6">
        <v>8</v>
      </c>
      <c r="Z33" s="1" t="s">
        <v>18</v>
      </c>
      <c r="AA33" s="8">
        <v>0.1</v>
      </c>
    </row>
    <row r="34" spans="1:27" ht="15.75" x14ac:dyDescent="0.25">
      <c r="A34" s="3">
        <v>3</v>
      </c>
      <c r="B34" s="1">
        <v>2</v>
      </c>
      <c r="C34" s="1">
        <v>1</v>
      </c>
      <c r="D34" s="1">
        <v>1</v>
      </c>
      <c r="E34" s="1">
        <v>2</v>
      </c>
      <c r="F34" s="1">
        <v>2</v>
      </c>
      <c r="G34" s="1">
        <v>0</v>
      </c>
      <c r="H34" s="1">
        <v>0</v>
      </c>
      <c r="I34" s="1">
        <v>2</v>
      </c>
      <c r="J34" s="5"/>
      <c r="K34" s="1">
        <f t="shared" si="7"/>
        <v>10</v>
      </c>
      <c r="L34" s="5"/>
      <c r="M34" s="3">
        <v>3</v>
      </c>
      <c r="N34" s="1">
        <v>1</v>
      </c>
      <c r="O34" s="1">
        <v>1</v>
      </c>
      <c r="P34" s="1">
        <v>1</v>
      </c>
      <c r="Q34" s="1">
        <v>2</v>
      </c>
      <c r="R34" s="1">
        <v>2</v>
      </c>
      <c r="S34" s="1">
        <v>0</v>
      </c>
      <c r="T34" s="1">
        <v>1</v>
      </c>
      <c r="U34" s="1">
        <v>2</v>
      </c>
      <c r="V34" s="5"/>
      <c r="W34" s="1">
        <f t="shared" si="8"/>
        <v>10</v>
      </c>
      <c r="X34" s="5"/>
      <c r="Y34" s="12" t="s">
        <v>20</v>
      </c>
      <c r="Z34" s="12"/>
      <c r="AA34" s="7">
        <f>SUM(AA26:AA33)</f>
        <v>1.0000000000000002</v>
      </c>
    </row>
    <row r="35" spans="1:27" ht="15.75" x14ac:dyDescent="0.25">
      <c r="A35" s="3">
        <v>4</v>
      </c>
      <c r="B35" s="1">
        <v>2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5"/>
      <c r="K35" s="1">
        <f t="shared" si="7"/>
        <v>5</v>
      </c>
      <c r="L35" s="5"/>
      <c r="M35" s="3">
        <v>4</v>
      </c>
      <c r="N35" s="1">
        <v>1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1</v>
      </c>
      <c r="V35" s="5"/>
      <c r="W35" s="1">
        <f t="shared" si="8"/>
        <v>5</v>
      </c>
      <c r="X35" s="5"/>
      <c r="Y35" s="5"/>
      <c r="Z35" s="5"/>
      <c r="AA35" s="5"/>
    </row>
    <row r="36" spans="1:27" ht="15.75" x14ac:dyDescent="0.25">
      <c r="A36" s="3">
        <v>5</v>
      </c>
      <c r="B36" s="1">
        <v>2</v>
      </c>
      <c r="C36" s="1">
        <v>1</v>
      </c>
      <c r="D36" s="1">
        <v>0</v>
      </c>
      <c r="E36" s="1">
        <v>2</v>
      </c>
      <c r="F36" s="1">
        <v>1</v>
      </c>
      <c r="G36" s="1">
        <v>0</v>
      </c>
      <c r="H36" s="1">
        <v>0</v>
      </c>
      <c r="I36" s="1">
        <v>2</v>
      </c>
      <c r="J36" s="5"/>
      <c r="K36" s="1">
        <f t="shared" si="7"/>
        <v>8</v>
      </c>
      <c r="L36" s="5"/>
      <c r="M36" s="3">
        <v>5</v>
      </c>
      <c r="N36" s="1">
        <v>1</v>
      </c>
      <c r="O36" s="1">
        <v>1</v>
      </c>
      <c r="P36" s="1">
        <v>0</v>
      </c>
      <c r="Q36" s="1">
        <v>2</v>
      </c>
      <c r="R36" s="1">
        <v>1</v>
      </c>
      <c r="S36" s="1">
        <v>0</v>
      </c>
      <c r="T36" s="1">
        <v>1</v>
      </c>
      <c r="U36" s="1">
        <v>2</v>
      </c>
      <c r="V36" s="5"/>
      <c r="W36" s="1">
        <f t="shared" si="8"/>
        <v>8</v>
      </c>
      <c r="X36" s="5"/>
      <c r="Y36" s="5"/>
      <c r="Z36" s="5"/>
      <c r="AA36" s="5"/>
    </row>
    <row r="37" spans="1:27" ht="15.75" x14ac:dyDescent="0.25">
      <c r="A37" s="3">
        <v>6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  <c r="G37" s="1">
        <v>1</v>
      </c>
      <c r="H37" s="1">
        <v>2</v>
      </c>
      <c r="I37" s="1">
        <v>2</v>
      </c>
      <c r="J37" s="5"/>
      <c r="K37" s="1">
        <f t="shared" si="7"/>
        <v>15</v>
      </c>
      <c r="L37" s="5"/>
      <c r="M37" s="3">
        <v>6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1</v>
      </c>
      <c r="T37" s="1">
        <v>2</v>
      </c>
      <c r="U37" s="1">
        <v>2</v>
      </c>
      <c r="V37" s="5"/>
      <c r="W37" s="1">
        <f t="shared" si="8"/>
        <v>15</v>
      </c>
      <c r="X37" s="5"/>
      <c r="Y37" s="5"/>
      <c r="Z37" s="5"/>
      <c r="AA37" s="5"/>
    </row>
    <row r="38" spans="1:27" ht="15.75" x14ac:dyDescent="0.25">
      <c r="A38" s="3">
        <v>7</v>
      </c>
      <c r="B38" s="1">
        <v>2</v>
      </c>
      <c r="C38" s="1">
        <v>1</v>
      </c>
      <c r="D38" s="1">
        <v>2</v>
      </c>
      <c r="E38" s="1">
        <v>2</v>
      </c>
      <c r="F38" s="1">
        <v>2</v>
      </c>
      <c r="G38" s="1">
        <v>0</v>
      </c>
      <c r="H38" s="1">
        <v>1</v>
      </c>
      <c r="I38" s="1">
        <v>2</v>
      </c>
      <c r="J38" s="5"/>
      <c r="K38" s="1">
        <f t="shared" si="7"/>
        <v>12</v>
      </c>
      <c r="L38" s="5"/>
      <c r="M38" s="3">
        <v>7</v>
      </c>
      <c r="N38" s="1">
        <v>2</v>
      </c>
      <c r="O38" s="1">
        <v>1</v>
      </c>
      <c r="P38" s="1">
        <v>1</v>
      </c>
      <c r="Q38" s="1">
        <v>1</v>
      </c>
      <c r="R38" s="1">
        <v>1</v>
      </c>
      <c r="S38" s="1">
        <v>0</v>
      </c>
      <c r="T38" s="1">
        <v>1</v>
      </c>
      <c r="U38" s="1">
        <v>2</v>
      </c>
      <c r="V38" s="5"/>
      <c r="W38" s="1">
        <f t="shared" si="8"/>
        <v>9</v>
      </c>
      <c r="X38" s="5"/>
      <c r="Y38" s="5"/>
      <c r="Z38" s="5"/>
      <c r="AA38" s="5"/>
    </row>
    <row r="39" spans="1:27" ht="15.75" x14ac:dyDescent="0.25">
      <c r="A39" s="3">
        <v>8</v>
      </c>
      <c r="B39" s="1">
        <v>2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5"/>
      <c r="K39" s="1">
        <f>SUM(B39:I39)</f>
        <v>4</v>
      </c>
      <c r="L39" s="5"/>
      <c r="M39" s="3">
        <v>8</v>
      </c>
      <c r="N39" s="1">
        <v>1</v>
      </c>
      <c r="O39" s="1">
        <v>1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5"/>
      <c r="W39" s="1">
        <f>SUM(N39:U39)</f>
        <v>4</v>
      </c>
      <c r="X39" s="5"/>
      <c r="Y39" s="5"/>
      <c r="Z39" s="5"/>
      <c r="AA39" s="5"/>
    </row>
    <row r="40" spans="1:27" ht="15.75" x14ac:dyDescent="0.25">
      <c r="K40" s="9">
        <f>SUM(K32:K39)</f>
        <v>64</v>
      </c>
      <c r="W40" s="9">
        <f>SUM(W32:W39)</f>
        <v>64</v>
      </c>
    </row>
  </sheetData>
  <mergeCells count="5">
    <mergeCell ref="Y10:Z10"/>
    <mergeCell ref="Y22:Z22"/>
    <mergeCell ref="Y34:Z34"/>
    <mergeCell ref="Y24:AA24"/>
    <mergeCell ref="Y12:A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2026-05-02T17:30:20Z</dcterms:modified>
</cp:coreProperties>
</file>